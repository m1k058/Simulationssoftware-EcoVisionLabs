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whamburgedu.sharepoint.com/sites/IhPeJott1/Freigegebene Dokumente/General/03 Softwareentwicklung und Tests/02 Logik Vorlagen/Speicher/"/>
    </mc:Choice>
  </mc:AlternateContent>
  <xr:revisionPtr revIDLastSave="108" documentId="8_{46A2B500-05AB-458A-B35D-03DA7B488E05}" xr6:coauthVersionLast="47" xr6:coauthVersionMax="47" xr10:uidLastSave="{0F678930-0C2B-4A10-9BA6-CEAC03E56132}"/>
  <bookViews>
    <workbookView xWindow="-80" yWindow="-80" windowWidth="19360" windowHeight="11440" xr2:uid="{C2DAF2BA-7CA4-4B3E-A4C0-AA82C76764E0}"/>
  </bookViews>
  <sheets>
    <sheet name="00_Input" sheetId="1" r:id="rId1"/>
    <sheet name="01_TimeSeries" sheetId="2" r:id="rId2"/>
    <sheet name="02_Dispatc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AA3" i="4"/>
  <c r="M3" i="4"/>
  <c r="U2" i="4"/>
  <c r="V2" i="4" s="1"/>
  <c r="G2" i="4"/>
  <c r="M2" i="4"/>
  <c r="L2" i="4"/>
  <c r="K2" i="4"/>
  <c r="F2" i="4"/>
  <c r="E2" i="4"/>
  <c r="D2" i="4"/>
  <c r="C2" i="4"/>
  <c r="B2" i="4"/>
  <c r="A2" i="4"/>
  <c r="H2" i="4" l="1"/>
  <c r="I2" i="4" s="1"/>
  <c r="K3" i="4"/>
  <c r="L3" i="4"/>
  <c r="N2" i="4" l="1"/>
  <c r="J2" i="4"/>
  <c r="X2" i="4"/>
  <c r="Y2" i="4" l="1"/>
  <c r="Z2" i="4" s="1"/>
  <c r="O2" i="4"/>
  <c r="P2" i="4" s="1"/>
  <c r="R2" i="4" s="1"/>
  <c r="W2" i="4" l="1"/>
  <c r="S2" i="4"/>
  <c r="AA2" i="4" l="1"/>
  <c r="AB2" i="4" s="1"/>
  <c r="AC2" i="4" s="1"/>
  <c r="AD2" i="4" s="1"/>
  <c r="AF2" i="4" s="1"/>
  <c r="T2" i="4"/>
</calcChain>
</file>

<file path=xl/sharedStrings.xml><?xml version="1.0" encoding="utf-8"?>
<sst xmlns="http://schemas.openxmlformats.org/spreadsheetml/2006/main" count="115" uniqueCount="101">
  <si>
    <t>dt_h</t>
  </si>
  <si>
    <t>E_bat_max_MWh</t>
  </si>
  <si>
    <t>P_bat_max_MW</t>
  </si>
  <si>
    <t>eta_bat_ch</t>
  </si>
  <si>
    <t>eta_bat_dis</t>
  </si>
  <si>
    <t>E_bat_init_MWh</t>
  </si>
  <si>
    <t>E_psw_max_MWh</t>
  </si>
  <si>
    <t>P_psw_max_MW</t>
  </si>
  <si>
    <t>eta_psw_ch</t>
  </si>
  <si>
    <t>eta_psw_dis</t>
  </si>
  <si>
    <t>E_psw_init_MWh</t>
  </si>
  <si>
    <t>P_ely_max_MW</t>
  </si>
  <si>
    <t>eta_ely</t>
  </si>
  <si>
    <t>P_h2gt_max_MW</t>
  </si>
  <si>
    <t>eta_h2gt</t>
  </si>
  <si>
    <t>P_h2_import_max_MW_H2</t>
  </si>
  <si>
    <t>h2_import_priority</t>
  </si>
  <si>
    <t>window_h</t>
  </si>
  <si>
    <t>W_rows</t>
  </si>
  <si>
    <t>df_threshold</t>
  </si>
  <si>
    <t>t</t>
  </si>
  <si>
    <t>timestamp</t>
  </si>
  <si>
    <t>Load_MW</t>
  </si>
  <si>
    <t>RES_MW</t>
  </si>
  <si>
    <t>Load</t>
  </si>
  <si>
    <t>RES</t>
  </si>
  <si>
    <t>Residual</t>
  </si>
  <si>
    <t>P_ely_target</t>
  </si>
  <si>
    <t>P_ely_gap_need</t>
  </si>
  <si>
    <t>Bat_dis_for_ely</t>
  </si>
  <si>
    <t>PSW_dis_for_ely</t>
  </si>
  <si>
    <t>P_ely_real</t>
  </si>
  <si>
    <t>H2_prod</t>
  </si>
  <si>
    <t>E_bat</t>
  </si>
  <si>
    <t>E_psw</t>
  </si>
  <si>
    <t>E_h2</t>
  </si>
  <si>
    <t>Def_after_ely</t>
  </si>
  <si>
    <t>H2_from_storage</t>
  </si>
  <si>
    <t>P_h2gt_el</t>
  </si>
  <si>
    <t>H2_cons_for_power</t>
  </si>
  <si>
    <t>H2_import_for_power</t>
  </si>
  <si>
    <t>H2_import_to_storage</t>
  </si>
  <si>
    <t>Unserved_el</t>
  </si>
  <si>
    <t>RESratio_W</t>
  </si>
  <si>
    <t>DF_flag</t>
  </si>
  <si>
    <t>MIN(M2; P2)</t>
  </si>
  <si>
    <t>P_h2gt_el_real</t>
  </si>
  <si>
    <t>Sur_after_ely</t>
  </si>
  <si>
    <t>Bat_ch_after</t>
  </si>
  <si>
    <t>PSW_ch_after</t>
  </si>
  <si>
    <t>P_gas_el_max_MW</t>
  </si>
  <si>
    <t>P_gas_th</t>
  </si>
  <si>
    <t>Gas_import_th</t>
  </si>
  <si>
    <t>Unserved_final</t>
  </si>
  <si>
    <t>P_gas_el</t>
  </si>
  <si>
    <t>gas_import_ok</t>
  </si>
  <si>
    <t>Def_after_H2</t>
  </si>
  <si>
    <t>P_gas_el_real</t>
  </si>
  <si>
    <t>ok dann schi</t>
  </si>
  <si>
    <t>Name</t>
  </si>
  <si>
    <t>Wert</t>
  </si>
  <si>
    <t>Einheit</t>
  </si>
  <si>
    <t>Beschreibung</t>
  </si>
  <si>
    <t>h</t>
  </si>
  <si>
    <t>Zeitschritt</t>
  </si>
  <si>
    <t>Batteriespeicher-Kapazität</t>
  </si>
  <si>
    <t>max. Batterieladeleistung</t>
  </si>
  <si>
    <t>Lade-Wirkungsgrad</t>
  </si>
  <si>
    <t>Entlade-Wirkungsgrad</t>
  </si>
  <si>
    <t>PSW-Kapazität</t>
  </si>
  <si>
    <t>PSW-Ladeleistung</t>
  </si>
  <si>
    <t>PSW_Lade-Wirkungsgrad</t>
  </si>
  <si>
    <t>PSW-Entlade-Wirkungsgrad</t>
  </si>
  <si>
    <t>Batterie-Initialisierungs_SOC</t>
  </si>
  <si>
    <t>PSW-Initialisierungs_SOC</t>
  </si>
  <si>
    <t>Elektrolyse-Leistung</t>
  </si>
  <si>
    <t>Elektrolyse-Wirkungsgrad</t>
  </si>
  <si>
    <t>Wasserstoff-Kapazität</t>
  </si>
  <si>
    <t>H2-Initialisierungs-SOC</t>
  </si>
  <si>
    <t>Rückverstromung-Leistungs</t>
  </si>
  <si>
    <t>Rückverstromung-Wirkungsgrad</t>
  </si>
  <si>
    <t>Maximaler Import-Wert</t>
  </si>
  <si>
    <t>H2 Kosten pro MWh</t>
  </si>
  <si>
    <t xml:space="preserve">  </t>
  </si>
  <si>
    <t>MWh</t>
  </si>
  <si>
    <t>MW</t>
  </si>
  <si>
    <t>Analysefenster Dunkelflaute</t>
  </si>
  <si>
    <t>Zeitschritte Analysefenster</t>
  </si>
  <si>
    <t>1/4h</t>
  </si>
  <si>
    <t>Maximale Leistung Gaskraftwerke</t>
  </si>
  <si>
    <t>Maximaler GasImport in DF</t>
  </si>
  <si>
    <t>Schalter Gasimport</t>
  </si>
  <si>
    <t>€/MWh</t>
  </si>
  <si>
    <t>cost_gas_import_perMWh</t>
  </si>
  <si>
    <t>Gaspreis</t>
  </si>
  <si>
    <t>P_gas_import_max_MW_therm</t>
  </si>
  <si>
    <t>cost_h2_import_per_MWh_H2</t>
  </si>
  <si>
    <t>E_h2_init_MWh_H2</t>
  </si>
  <si>
    <t>E_h2_max_MWh_H2</t>
  </si>
  <si>
    <t>Schwellenwert für df-Erkennung, gemittelter Leistungswert über 48h</t>
  </si>
  <si>
    <t>Wasserstoffpriorisering aktiv (0||1), true/false, 0: alte Logik (erst Elektrolyse, wenn Pumpspeicher voll sind), 1: Elektrolyseure laufen dauerhaft mit Vollleistung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</si>
</sst>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F9AF-A679-4C92-A82D-8094669E90D9}">
  <dimension ref="A1:D37"/>
  <sheetViews>
    <sheetView tabSelected="1" workbookViewId="0">
      <selection activeCell="H38" sqref="H38"/>
    </sheetView>
  </sheetViews>
  <sheetFormatPr baseColWidth="10" defaultRowHeight="14.5" x14ac:dyDescent="0.35"/>
  <cols>
    <col min="1" max="1" width="24.81640625" bestFit="1" customWidth="1"/>
    <col min="4" max="4" width="12.36328125" bestFit="1" customWidth="1"/>
  </cols>
  <sheetData>
    <row r="1" spans="1:4" x14ac:dyDescent="0.35">
      <c r="A1" t="s">
        <v>59</v>
      </c>
      <c r="B1" t="s">
        <v>60</v>
      </c>
      <c r="C1" t="s">
        <v>61</v>
      </c>
      <c r="D1" t="s">
        <v>62</v>
      </c>
    </row>
    <row r="2" spans="1:4" x14ac:dyDescent="0.35">
      <c r="A2" t="s">
        <v>0</v>
      </c>
      <c r="B2">
        <v>0.25</v>
      </c>
      <c r="C2" t="s">
        <v>63</v>
      </c>
      <c r="D2" t="s">
        <v>64</v>
      </c>
    </row>
    <row r="6" spans="1:4" x14ac:dyDescent="0.35">
      <c r="A6" s="3" t="s">
        <v>1</v>
      </c>
      <c r="C6" t="s">
        <v>84</v>
      </c>
      <c r="D6" t="s">
        <v>65</v>
      </c>
    </row>
    <row r="7" spans="1:4" x14ac:dyDescent="0.35">
      <c r="A7" s="3" t="s">
        <v>2</v>
      </c>
      <c r="C7" t="s">
        <v>84</v>
      </c>
      <c r="D7" t="s">
        <v>66</v>
      </c>
    </row>
    <row r="8" spans="1:4" x14ac:dyDescent="0.35">
      <c r="A8" s="3" t="s">
        <v>3</v>
      </c>
      <c r="D8" t="s">
        <v>67</v>
      </c>
    </row>
    <row r="9" spans="1:4" x14ac:dyDescent="0.35">
      <c r="A9" s="3" t="s">
        <v>4</v>
      </c>
      <c r="D9" t="s">
        <v>68</v>
      </c>
    </row>
    <row r="10" spans="1:4" x14ac:dyDescent="0.35">
      <c r="A10" s="3" t="s">
        <v>5</v>
      </c>
      <c r="C10" t="s">
        <v>84</v>
      </c>
      <c r="D10" t="s">
        <v>73</v>
      </c>
    </row>
    <row r="11" spans="1:4" x14ac:dyDescent="0.35">
      <c r="A11" s="3"/>
    </row>
    <row r="12" spans="1:4" x14ac:dyDescent="0.35">
      <c r="A12" s="3" t="s">
        <v>6</v>
      </c>
      <c r="C12" t="s">
        <v>84</v>
      </c>
      <c r="D12" t="s">
        <v>69</v>
      </c>
    </row>
    <row r="13" spans="1:4" x14ac:dyDescent="0.35">
      <c r="A13" s="3" t="s">
        <v>7</v>
      </c>
      <c r="C13" t="s">
        <v>84</v>
      </c>
      <c r="D13" t="s">
        <v>70</v>
      </c>
    </row>
    <row r="14" spans="1:4" x14ac:dyDescent="0.35">
      <c r="A14" s="3" t="s">
        <v>8</v>
      </c>
      <c r="D14" t="s">
        <v>71</v>
      </c>
    </row>
    <row r="15" spans="1:4" x14ac:dyDescent="0.35">
      <c r="A15" s="3" t="s">
        <v>9</v>
      </c>
      <c r="D15" t="s">
        <v>72</v>
      </c>
    </row>
    <row r="16" spans="1:4" x14ac:dyDescent="0.35">
      <c r="A16" s="3" t="s">
        <v>10</v>
      </c>
      <c r="C16" t="s">
        <v>84</v>
      </c>
      <c r="D16" t="s">
        <v>74</v>
      </c>
    </row>
    <row r="17" spans="1:4" x14ac:dyDescent="0.35">
      <c r="A17" s="3"/>
    </row>
    <row r="18" spans="1:4" x14ac:dyDescent="0.35">
      <c r="A18" s="3" t="s">
        <v>11</v>
      </c>
      <c r="C18" t="s">
        <v>85</v>
      </c>
      <c r="D18" t="s">
        <v>75</v>
      </c>
    </row>
    <row r="19" spans="1:4" x14ac:dyDescent="0.35">
      <c r="A19" s="3" t="s">
        <v>12</v>
      </c>
      <c r="D19" t="s">
        <v>76</v>
      </c>
    </row>
    <row r="20" spans="1:4" x14ac:dyDescent="0.35">
      <c r="A20" s="3" t="s">
        <v>98</v>
      </c>
      <c r="C20" t="s">
        <v>84</v>
      </c>
      <c r="D20" t="s">
        <v>77</v>
      </c>
    </row>
    <row r="21" spans="1:4" x14ac:dyDescent="0.35">
      <c r="A21" s="3" t="s">
        <v>97</v>
      </c>
      <c r="C21" t="s">
        <v>84</v>
      </c>
      <c r="D21" t="s">
        <v>78</v>
      </c>
    </row>
    <row r="22" spans="1:4" x14ac:dyDescent="0.35">
      <c r="A22" s="3" t="s">
        <v>13</v>
      </c>
      <c r="C22" t="s">
        <v>85</v>
      </c>
      <c r="D22" t="s">
        <v>79</v>
      </c>
    </row>
    <row r="23" spans="1:4" x14ac:dyDescent="0.35">
      <c r="A23" s="3" t="s">
        <v>14</v>
      </c>
      <c r="D23" t="s">
        <v>80</v>
      </c>
    </row>
    <row r="25" spans="1:4" x14ac:dyDescent="0.35">
      <c r="A25" s="5" t="s">
        <v>15</v>
      </c>
      <c r="C25" t="s">
        <v>85</v>
      </c>
      <c r="D25" t="s">
        <v>81</v>
      </c>
    </row>
    <row r="26" spans="1:4" x14ac:dyDescent="0.35">
      <c r="A26" s="4" t="s">
        <v>96</v>
      </c>
      <c r="C26" t="s">
        <v>92</v>
      </c>
      <c r="D26" t="s">
        <v>82</v>
      </c>
    </row>
    <row r="27" spans="1:4" x14ac:dyDescent="0.35">
      <c r="A27" s="5" t="s">
        <v>16</v>
      </c>
      <c r="D27" t="s">
        <v>100</v>
      </c>
    </row>
    <row r="29" spans="1:4" x14ac:dyDescent="0.35">
      <c r="A29" s="4" t="s">
        <v>17</v>
      </c>
      <c r="B29">
        <v>48</v>
      </c>
      <c r="C29" t="s">
        <v>63</v>
      </c>
      <c r="D29" t="s">
        <v>86</v>
      </c>
    </row>
    <row r="30" spans="1:4" x14ac:dyDescent="0.35">
      <c r="A30" s="4" t="s">
        <v>18</v>
      </c>
      <c r="B30">
        <f>B29/B2</f>
        <v>192</v>
      </c>
      <c r="C30" t="s">
        <v>88</v>
      </c>
      <c r="D30" t="s">
        <v>87</v>
      </c>
    </row>
    <row r="31" spans="1:4" x14ac:dyDescent="0.35">
      <c r="A31" s="4" t="s">
        <v>19</v>
      </c>
      <c r="C31" t="s">
        <v>85</v>
      </c>
      <c r="D31" t="s">
        <v>99</v>
      </c>
    </row>
    <row r="33" spans="1:4" x14ac:dyDescent="0.35">
      <c r="A33" s="5" t="s">
        <v>50</v>
      </c>
      <c r="C33" t="s">
        <v>85</v>
      </c>
      <c r="D33" t="s">
        <v>89</v>
      </c>
    </row>
    <row r="34" spans="1:4" x14ac:dyDescent="0.35">
      <c r="A34" t="s">
        <v>83</v>
      </c>
    </row>
    <row r="35" spans="1:4" x14ac:dyDescent="0.35">
      <c r="A35" s="5" t="s">
        <v>95</v>
      </c>
      <c r="D35" t="s">
        <v>90</v>
      </c>
    </row>
    <row r="36" spans="1:4" x14ac:dyDescent="0.35">
      <c r="A36" s="5" t="s">
        <v>55</v>
      </c>
      <c r="D36" t="s">
        <v>91</v>
      </c>
    </row>
    <row r="37" spans="1:4" x14ac:dyDescent="0.35">
      <c r="A37" s="4" t="s">
        <v>93</v>
      </c>
      <c r="C37" t="s">
        <v>92</v>
      </c>
      <c r="D37" t="s">
        <v>94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D0F7-57A2-469B-A1CD-B54AA3805578}">
  <dimension ref="A1:D1"/>
  <sheetViews>
    <sheetView workbookViewId="0">
      <selection activeCell="E13" sqref="E13"/>
    </sheetView>
  </sheetViews>
  <sheetFormatPr baseColWidth="10" defaultRowHeight="14.5" x14ac:dyDescent="0.35"/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DA53-A00C-4109-8F3B-D40A0B8A490F}">
  <dimension ref="A1:AF3"/>
  <sheetViews>
    <sheetView topLeftCell="O1" zoomScale="70" zoomScaleNormal="70" workbookViewId="0">
      <selection activeCell="T42" sqref="T42"/>
    </sheetView>
  </sheetViews>
  <sheetFormatPr baseColWidth="10" defaultRowHeight="14.5" x14ac:dyDescent="0.35"/>
  <cols>
    <col min="1" max="1" width="6.36328125" customWidth="1"/>
    <col min="2" max="2" width="5" customWidth="1"/>
    <col min="3" max="3" width="12.90625" customWidth="1"/>
    <col min="4" max="4" width="8.26953125" bestFit="1" customWidth="1"/>
    <col min="5" max="5" width="10.7265625" bestFit="1" customWidth="1"/>
    <col min="6" max="6" width="14" bestFit="1" customWidth="1"/>
    <col min="7" max="7" width="13.36328125" bestFit="1" customWidth="1"/>
    <col min="8" max="8" width="14.26953125" bestFit="1" customWidth="1"/>
    <col min="9" max="9" width="9.26953125" bestFit="1" customWidth="1"/>
    <col min="10" max="10" width="7.90625" bestFit="1" customWidth="1"/>
    <col min="11" max="11" width="12.54296875" bestFit="1" customWidth="1"/>
    <col min="12" max="12" width="7.90625" bestFit="1" customWidth="1"/>
    <col min="13" max="13" width="4.7265625" bestFit="1" customWidth="1"/>
    <col min="14" max="14" width="11.453125" bestFit="1" customWidth="1"/>
    <col min="15" max="15" width="26.1796875" bestFit="1" customWidth="1"/>
    <col min="17" max="17" width="15" bestFit="1" customWidth="1"/>
    <col min="19" max="19" width="19.1796875" bestFit="1" customWidth="1"/>
  </cols>
  <sheetData>
    <row r="1" spans="1:32" x14ac:dyDescent="0.35">
      <c r="A1" t="s">
        <v>20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38</v>
      </c>
      <c r="P1" t="s">
        <v>39</v>
      </c>
      <c r="Q1" t="s">
        <v>37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46</v>
      </c>
      <c r="X1" t="s">
        <v>47</v>
      </c>
      <c r="Y1" t="s">
        <v>48</v>
      </c>
      <c r="Z1" t="s">
        <v>49</v>
      </c>
      <c r="AA1" t="s">
        <v>56</v>
      </c>
      <c r="AB1" t="s">
        <v>54</v>
      </c>
      <c r="AC1" t="s">
        <v>51</v>
      </c>
      <c r="AD1" t="s">
        <v>52</v>
      </c>
      <c r="AE1" t="s">
        <v>53</v>
      </c>
      <c r="AF1" t="s">
        <v>57</v>
      </c>
    </row>
    <row r="2" spans="1:32" x14ac:dyDescent="0.35">
      <c r="A2">
        <f>'01_TimeSeries'!A2</f>
        <v>0</v>
      </c>
      <c r="B2">
        <f>'01_TimeSeries'!C2</f>
        <v>0</v>
      </c>
      <c r="C2">
        <f>'01_TimeSeries'!D2</f>
        <v>0</v>
      </c>
      <c r="D2">
        <f>B2-C2</f>
        <v>0</v>
      </c>
      <c r="E2">
        <f>'00_Input'!B18</f>
        <v>0</v>
      </c>
      <c r="F2">
        <f>MAX(0, E2 + D2)</f>
        <v>0</v>
      </c>
      <c r="G2">
        <f>MIN('00_Input'!B7, K2/'00_Input'!B2, F2)</f>
        <v>0</v>
      </c>
      <c r="H2">
        <f>MIN('00_Input'!B13, L2/'00_Input'!B2, MAX(0, F2-G2))</f>
        <v>0</v>
      </c>
      <c r="I2">
        <f>MAX(0, E2 - MAX(0, F2-G2-H2))</f>
        <v>0</v>
      </c>
      <c r="J2">
        <f>'00_Input'!B19*I2*'00_Input'!B2</f>
        <v>0</v>
      </c>
      <c r="K2">
        <f>'00_Input'!B10</f>
        <v>0</v>
      </c>
      <c r="L2">
        <f>'00_Input'!B16</f>
        <v>0</v>
      </c>
      <c r="M2">
        <f>'00_Input'!B21</f>
        <v>0</v>
      </c>
      <c r="N2">
        <f>MAX(0, D2 + I2 - G2 - H2)</f>
        <v>0</v>
      </c>
      <c r="O2">
        <f>MIN('00_Input'!B22, '00_Input'!B23*(M2/'00_Input'!B2), N2)</f>
        <v>0</v>
      </c>
      <c r="P2" t="e">
        <f>O2/'00_Input'!B23*'00_Input'!B2</f>
        <v>#DIV/0!</v>
      </c>
      <c r="Q2" t="s">
        <v>45</v>
      </c>
      <c r="R2" t="e">
        <f>MIN('00_Input'!B25*'00_Input'!B2, MAX(0, P2-Q2))</f>
        <v>#DIV/0!</v>
      </c>
      <c r="S2" t="e">
        <f>MAX(0, MIN('00_Input'!B25*'00_Input'!B2 - R2, '00_Input'!B20 - M2))</f>
        <v>#DIV/0!</v>
      </c>
      <c r="T2" s="2" t="e">
        <f>MAX(0, N2 - W2)</f>
        <v>#VALUE!</v>
      </c>
      <c r="U2" t="str">
        <f ca="1">IF(A2&lt;'00_Input'!B30, "", AVERAGE(OFFSET(C2, -'00_Input'!B30+1, 0, '00_Input'!B30, 1)) / AVERAGE(OFFSET(B2, -'00_Input'!B30+1, 0, '00_Input'!B30, 1)))</f>
        <v/>
      </c>
      <c r="V2" t="str">
        <f ca="1">IF(U2="", "", IF(U2&lt;'00_Input'!B31, 1, 0))</f>
        <v/>
      </c>
      <c r="W2" t="e">
        <f>MIN(O2, '00_Input'!B23*(Q2+R2)/'00_Input'!B2)</f>
        <v>#VALUE!</v>
      </c>
      <c r="X2">
        <f>MAX(0, -D2 - I2 + G2 + H2)</f>
        <v>0</v>
      </c>
      <c r="Y2">
        <f>MIN('00_Input'!B7, ('00_Input'!B6-K2)/'00_Input'!B2, X2)</f>
        <v>0</v>
      </c>
      <c r="Z2">
        <f>MIN('00_Input'!B13, ('00_Input'!B12-L2)/'00_Input'!B2, MAX(0, X2-Y2))</f>
        <v>0</v>
      </c>
      <c r="AA2" t="e">
        <f>MAX(0, N2 - W2)</f>
        <v>#VALUE!</v>
      </c>
      <c r="AB2" t="e">
        <f>MIN('00_Input'!B33, AA2)</f>
        <v>#VALUE!</v>
      </c>
      <c r="AC2" t="e">
        <f>AB2/'00_Input'!B34</f>
        <v>#VALUE!</v>
      </c>
      <c r="AD2" t="e">
        <f>MIN('00_Input'!B35, AC2)</f>
        <v>#VALUE!</v>
      </c>
      <c r="AE2" t="s">
        <v>58</v>
      </c>
      <c r="AF2" t="e">
        <f>AD2*'00_Input'!B34</f>
        <v>#VALUE!</v>
      </c>
    </row>
    <row r="3" spans="1:32" x14ac:dyDescent="0.35">
      <c r="K3" t="e">
        <f>MAX(0, MIN('00_Input'!B6, K2 + '00_Input'!B8*Y3*'00_Input'!B2 - (1/'00_Input'!B9)*G3*'00_Input'!B2))</f>
        <v>#DIV/0!</v>
      </c>
      <c r="L3" t="e">
        <f>MAX(0, MIN('00_Input'!B12, L2 + '00_Input'!B14*Z3*'00_Input'!B2 - (1/'00_Input'!B15)*H3*'00_Input'!B2))</f>
        <v>#DIV/0!</v>
      </c>
      <c r="M3" s="1">
        <f>MAX(0, MIN('00_Input'!B20, M2 + J3 + S3 - Q3))</f>
        <v>0</v>
      </c>
      <c r="AA3">
        <f>MAX(0, N3 - W3)</f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42273E7A96C664EA6C8EA1871F58752" ma:contentTypeVersion="10" ma:contentTypeDescription="Ein neues Dokument erstellen." ma:contentTypeScope="" ma:versionID="1930fb9fd799b758039e71a471074471">
  <xsd:schema xmlns:xsd="http://www.w3.org/2001/XMLSchema" xmlns:xs="http://www.w3.org/2001/XMLSchema" xmlns:p="http://schemas.microsoft.com/office/2006/metadata/properties" xmlns:ns2="5a09a218-1a20-4077-8c20-5ac364853c38" xmlns:ns3="6689aaae-911f-42b6-a332-2ac61c779104" targetNamespace="http://schemas.microsoft.com/office/2006/metadata/properties" ma:root="true" ma:fieldsID="0ef1a3cdf7542c599a8efad726fa87f6" ns2:_="" ns3:_="">
    <xsd:import namespace="5a09a218-1a20-4077-8c20-5ac364853c38"/>
    <xsd:import namespace="6689aaae-911f-42b6-a332-2ac61c7791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9a218-1a20-4077-8c20-5ac364853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902dec8-a9aa-4cb7-a2d5-0c0a001087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9aaae-911f-42b6-a332-2ac61c7791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7a6e6e3-5d7b-459c-97a5-cafab0d8fa05}" ma:internalName="TaxCatchAll" ma:showField="CatchAllData" ma:web="6689aaae-911f-42b6-a332-2ac61c7791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09a218-1a20-4077-8c20-5ac364853c38">
      <Terms xmlns="http://schemas.microsoft.com/office/infopath/2007/PartnerControls"/>
    </lcf76f155ced4ddcb4097134ff3c332f>
    <TaxCatchAll xmlns="6689aaae-911f-42b6-a332-2ac61c779104" xsi:nil="true"/>
  </documentManagement>
</p:properties>
</file>

<file path=customXml/itemProps1.xml><?xml version="1.0" encoding="utf-8"?>
<ds:datastoreItem xmlns:ds="http://schemas.openxmlformats.org/officeDocument/2006/customXml" ds:itemID="{E98FF8AC-608E-4E8B-B567-0F344500A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09a218-1a20-4077-8c20-5ac364853c38"/>
    <ds:schemaRef ds:uri="6689aaae-911f-42b6-a332-2ac61c7791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86A714-2153-4DD0-A739-5422BC14DB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39F82F-13C1-4C5D-B7E4-B5A307E579FE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6689aaae-911f-42b6-a332-2ac61c779104"/>
    <ds:schemaRef ds:uri="5a09a218-1a20-4077-8c20-5ac364853c3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00_Input</vt:lpstr>
      <vt:lpstr>01_TimeSeries</vt:lpstr>
      <vt:lpstr>02_Dispatch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Klostermann, Milius</dc:creator>
  <cp:lastModifiedBy>Klostermann, Milius</cp:lastModifiedBy>
  <dcterms:created xsi:type="dcterms:W3CDTF">2026-01-15T09:36:46Z</dcterms:created>
  <dcterms:modified xsi:type="dcterms:W3CDTF">2026-01-15T18:53:22Z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2026-01-15T10:06:01Z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21d861ca-b5fe-48c7-8ed9-4fec4a0cdcbd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0x010100042273E7A96C664EA6C8EA1871F58752</vt:lpwstr>
  </property>
  <property fmtid="{D5CDD505-2E9C-101B-9397-08002B2CF9AE}" pid="11" name="MediaServiceImageTags">
    <vt:lpwstr/>
  </property>
</Properties>
</file>